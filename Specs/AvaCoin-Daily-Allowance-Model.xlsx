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Feature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<sst xmlns="http://schemas.openxmlformats.org/spreadsheetml/2006/main" count="94" uniqueCount="69">
  <si>
    <t xml:space="preserve">AvaCoin Daily-Allowance Model — Assumptions</t>
  </si>
  <si>
    <t xml:space="preserve">Input</t>
  </si>
  <si>
    <t xml:space="preserve">Value</t>
  </si>
  <si>
    <t xml:space="preserve">Note</t>
  </si>
  <si>
    <t xml:space="preserve">Coin value (USD per coin)</t>
  </si>
  <si>
    <t xml:space="preserve">CANONICAL: wallet.ts COINS_PER_USD=100 → 1 coin=$0.01 (fix feature_pricing 1000/USD bug)</t>
  </si>
  <si>
    <t xml:space="preserve">Daily free allowance (coins)</t>
  </si>
  <si>
    <t xml:space="preserve">Premium daily budget; exhaust → fall back to basic till 00:00 UTC reset</t>
  </si>
  <si>
    <t xml:space="preserve">Alt allowance to test (coins)</t>
  </si>
  <si>
    <t xml:space="preserve">Scenario lever</t>
  </si>
  <si>
    <t xml:space="preserve">Total users</t>
  </si>
  <si>
    <t xml:space="preserve">Planning horizon</t>
  </si>
  <si>
    <t xml:space="preserve">Daily active % (DAU)</t>
  </si>
  <si>
    <t xml:space="preserve">Share of users active on a given day</t>
  </si>
  <si>
    <t xml:space="preserve">Cost per feature  (our cost-to-us vs coin price; what 1,000 coins buys)</t>
  </si>
  <si>
    <t xml:space="preserve">Feature</t>
  </si>
  <si>
    <t xml:space="preserve">Coin price</t>
  </si>
  <si>
    <t xml:space="preserve">Unit</t>
  </si>
  <si>
    <t xml:space="preserve">Our cost LOW ($)</t>
  </si>
  <si>
    <t xml:space="preserve">Our cost HIGH ($)</t>
  </si>
  <si>
    <t xml:space="preserve">USD charged</t>
  </si>
  <si>
    <t xml:space="preserve">Actions / allowance</t>
  </si>
  <si>
    <t xml:space="preserve">Our $ if ALL allowance here (LOW)</t>
  </si>
  <si>
    <t xml:space="preserve">Our $ (HIGH)</t>
  </si>
  <si>
    <t xml:space="preserve">Margin (x, mid)</t>
  </si>
  <si>
    <t xml:space="preserve">Pool?</t>
  </si>
  <si>
    <t xml:space="preserve">Text chat (Gemma 4 / Workers AI)</t>
  </si>
  <si>
    <t xml:space="preserve">msg</t>
  </si>
  <si>
    <t xml:space="preserve">Pooled</t>
  </si>
  <si>
    <t xml:space="preserve">Image — free tier (Flux schnell)</t>
  </si>
  <si>
    <t xml:space="preserve">img</t>
  </si>
  <si>
    <t xml:space="preserve">Image — paid (Nano Banana 2)</t>
  </si>
  <si>
    <t xml:space="preserve">Sub-cap</t>
  </si>
  <si>
    <t xml:space="preserve">Voice reply (on-device TTS)</t>
  </si>
  <si>
    <t xml:space="preserve">reply</t>
  </si>
  <si>
    <t xml:space="preserve">Vision snapshot (Gemini 3 Flash)</t>
  </si>
  <si>
    <t xml:space="preserve">snap</t>
  </si>
  <si>
    <t xml:space="preserve">Composio / MCP tool call</t>
  </si>
  <si>
    <t xml:space="preserve">call</t>
  </si>
  <si>
    <t xml:space="preserve">GenUI render (Gemini Flash)</t>
  </si>
  <si>
    <t xml:space="preserve">render</t>
  </si>
  <si>
    <t xml:space="preserve">Live translation</t>
  </si>
  <si>
    <t xml:space="preserve">min</t>
  </si>
  <si>
    <t xml:space="preserve">AI voice call (Gemini Live)</t>
  </si>
  <si>
    <t xml:space="preserve">Receptionist (2-min Gemini Live)</t>
  </si>
  <si>
    <t xml:space="preserve">Group conference (LiveKit)</t>
  </si>
  <si>
    <t xml:space="preserve">part-min</t>
  </si>
  <si>
    <t xml:space="preserve">Free infra</t>
  </si>
  <si>
    <t xml:space="preserve">1:1 P2P call (Cloudflare TURN)</t>
  </si>
  <si>
    <t xml:space="preserve">Messaging (InboxDO + R2)</t>
  </si>
  <si>
    <t xml:space="preserve">Scenarios — worst case, realistic basket, 1,000-user projection</t>
  </si>
  <si>
    <t xml:space="preserve">A) Worst case: a user spends ALL daily coins on the single most expensive feature</t>
  </si>
  <si>
    <t xml:space="preserve">Most expensive single feature → our cost/day (HIGH)</t>
  </si>
  <si>
    <t xml:space="preserve">⚠ This is Live Translation — why expensive real-time AI needs per-feature sub-caps</t>
  </si>
  <si>
    <t xml:space="preserve">…per month</t>
  </si>
  <si>
    <t xml:space="preserve">B) Realistic basket per ACTIVE user/day (edit the blue counts)</t>
  </si>
  <si>
    <t xml:space="preserve">Actions/day</t>
  </si>
  <si>
    <t xml:space="preserve">Coin price (link)</t>
  </si>
  <si>
    <t xml:space="preserve">Coins used</t>
  </si>
  <si>
    <t xml:space="preserve">Our $ LOW</t>
  </si>
  <si>
    <t xml:space="preserve">Our $ HIGH</t>
  </si>
  <si>
    <t xml:space="preserve">TOTAL / active user / day</t>
  </si>
  <si>
    <t xml:space="preserve">coins of 1000</t>
  </si>
  <si>
    <t xml:space="preserve">…coins used vs 1,000 allowance</t>
  </si>
  <si>
    <t xml:space="preserve">C) Projection to all users</t>
  </si>
  <si>
    <t xml:space="preserve">Daily active users (DAU)</t>
  </si>
  <si>
    <t xml:space="preserve">Realistic cost / day (LOW–HIGH)</t>
  </si>
  <si>
    <t xml:space="preserve">Realistic cost / month (LOW–HIGH)</t>
  </si>
  <si>
    <t xml:space="preserve">Worst case / month (every DAU maxes translation)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</si>
</sst>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0"/>
    <numFmt numFmtId="166" formatCode="0%"/>
    <numFmt numFmtId="167" formatCode="\$#,##0.0000"/>
    <numFmt numFmtId="168" formatCode="#,##0"/>
    <numFmt numFmtId="169" formatCode="\$#,##0.00"/>
    <numFmt numFmtId="170" formatCode="0.0\x"/>
    <numFmt numFmtId="171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3" t="n">
        <v>0.01</v>
      </c>
      <c r="C4" s="4" t="s">
        <v>5</v>
      </c>
    </row>
    <row r="5" customFormat="false" ht="15" hidden="false" customHeight="false" outlineLevel="0" collapsed="false">
      <c r="A5" s="0" t="s">
        <v>6</v>
      </c>
      <c r="B5" s="5" t="n">
        <v>1000</v>
      </c>
      <c r="C5" s="4" t="s">
        <v>7</v>
      </c>
    </row>
    <row r="6" customFormat="false" ht="15" hidden="false" customHeight="false" outlineLevel="0" collapsed="false">
      <c r="A6" s="0" t="s">
        <v>8</v>
      </c>
      <c r="B6" s="5" t="n">
        <v>500</v>
      </c>
      <c r="C6" s="4" t="s">
        <v>9</v>
      </c>
    </row>
    <row r="7" customFormat="false" ht="15" hidden="false" customHeight="false" outlineLevel="0" collapsed="false">
      <c r="A7" s="0" t="s">
        <v>10</v>
      </c>
      <c r="B7" s="5" t="n">
        <v>1000</v>
      </c>
      <c r="C7" s="4" t="s">
        <v>11</v>
      </c>
    </row>
    <row r="8" customFormat="false" ht="15" hidden="false" customHeight="false" outlineLevel="0" collapsed="false">
      <c r="A8" s="0" t="s">
        <v>12</v>
      </c>
      <c r="B8" s="6" t="n">
        <v>0.4</v>
      </c>
      <c r="C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7" t="s">
        <v>14</v>
      </c>
    </row>
    <row r="3" customFormat="false" ht="39.55" hidden="false" customHeight="false" outlineLevel="0" collapsed="false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</row>
    <row r="4" customFormat="false" ht="15" hidden="false" customHeight="false" outlineLevel="0" collapsed="false">
      <c r="A4" s="9" t="s">
        <v>26</v>
      </c>
      <c r="B4" s="10" t="n">
        <v>2</v>
      </c>
      <c r="C4" s="11" t="s">
        <v>27</v>
      </c>
      <c r="D4" s="12" t="n">
        <v>0.0005</v>
      </c>
      <c r="E4" s="12" t="n">
        <v>0.0005</v>
      </c>
      <c r="F4" s="13" t="n">
        <f aca="false">B4*Assumptions!$B$4</f>
        <v>0.02</v>
      </c>
      <c r="G4" s="14" t="n">
        <f aca="false">IF(B4=0,"—",Assumptions!$B$5/B4)</f>
        <v>500</v>
      </c>
      <c r="H4" s="15" t="n">
        <f aca="false">IF(B4=0,0,(Assumptions!$B$5/B4)*D4)</f>
        <v>0.25</v>
      </c>
      <c r="I4" s="15" t="n">
        <f aca="false">IF(B4=0,0,(Assumptions!$B$5/B4)*E4)</f>
        <v>0.25</v>
      </c>
      <c r="J4" s="16" t="n">
        <f aca="false">IF((D4+E4)=0,"—",F4/((D4+E4)/2))</f>
        <v>40</v>
      </c>
      <c r="K4" s="11" t="s">
        <v>28</v>
      </c>
    </row>
    <row r="5" customFormat="false" ht="15" hidden="false" customHeight="false" outlineLevel="0" collapsed="false">
      <c r="A5" s="9" t="s">
        <v>29</v>
      </c>
      <c r="B5" s="10" t="n">
        <v>5</v>
      </c>
      <c r="C5" s="11" t="s">
        <v>30</v>
      </c>
      <c r="D5" s="12" t="n">
        <v>0.0006</v>
      </c>
      <c r="E5" s="12" t="n">
        <v>0.0006</v>
      </c>
      <c r="F5" s="13" t="n">
        <f aca="false">B5*Assumptions!$B$4</f>
        <v>0.05</v>
      </c>
      <c r="G5" s="14" t="n">
        <f aca="false">IF(B5=0,"—",Assumptions!$B$5/B5)</f>
        <v>200</v>
      </c>
      <c r="H5" s="15" t="n">
        <f aca="false">IF(B5=0,0,(Assumptions!$B$5/B5)*D5)</f>
        <v>0.12</v>
      </c>
      <c r="I5" s="15" t="n">
        <f aca="false">IF(B5=0,0,(Assumptions!$B$5/B5)*E5)</f>
        <v>0.12</v>
      </c>
      <c r="J5" s="16" t="n">
        <f aca="false">IF((D5+E5)=0,"—",F5/((D5+E5)/2))</f>
        <v>83.3333333333333</v>
      </c>
      <c r="K5" s="11" t="s">
        <v>28</v>
      </c>
    </row>
    <row r="6" customFormat="false" ht="15" hidden="false" customHeight="false" outlineLevel="0" collapsed="false">
      <c r="A6" s="9" t="s">
        <v>31</v>
      </c>
      <c r="B6" s="10" t="n">
        <v>80</v>
      </c>
      <c r="C6" s="11" t="s">
        <v>30</v>
      </c>
      <c r="D6" s="12" t="n">
        <v>0.04</v>
      </c>
      <c r="E6" s="12" t="n">
        <v>0.067</v>
      </c>
      <c r="F6" s="13" t="n">
        <f aca="false">B6*Assumptions!$B$4</f>
        <v>0.8</v>
      </c>
      <c r="G6" s="14" t="n">
        <f aca="false">IF(B6=0,"—",Assumptions!$B$5/B6)</f>
        <v>12.5</v>
      </c>
      <c r="H6" s="15" t="n">
        <f aca="false">IF(B6=0,0,(Assumptions!$B$5/B6)*D6)</f>
        <v>0.5</v>
      </c>
      <c r="I6" s="15" t="n">
        <f aca="false">IF(B6=0,0,(Assumptions!$B$5/B6)*E6)</f>
        <v>0.8375</v>
      </c>
      <c r="J6" s="16" t="n">
        <f aca="false">IF((D6+E6)=0,"—",F6/((D6+E6)/2))</f>
        <v>14.9532710280374</v>
      </c>
      <c r="K6" s="17" t="s">
        <v>32</v>
      </c>
    </row>
    <row r="7" customFormat="false" ht="15" hidden="false" customHeight="false" outlineLevel="0" collapsed="false">
      <c r="A7" s="9" t="s">
        <v>33</v>
      </c>
      <c r="B7" s="10" t="n">
        <v>20</v>
      </c>
      <c r="C7" s="11" t="s">
        <v>34</v>
      </c>
      <c r="D7" s="12" t="n">
        <v>0</v>
      </c>
      <c r="E7" s="12" t="n">
        <v>0.002</v>
      </c>
      <c r="F7" s="13" t="n">
        <f aca="false">B7*Assumptions!$B$4</f>
        <v>0.2</v>
      </c>
      <c r="G7" s="14" t="n">
        <f aca="false">IF(B7=0,"—",Assumptions!$B$5/B7)</f>
        <v>50</v>
      </c>
      <c r="H7" s="15" t="n">
        <f aca="false">IF(B7=0,0,(Assumptions!$B$5/B7)*D7)</f>
        <v>0</v>
      </c>
      <c r="I7" s="15" t="n">
        <f aca="false">IF(B7=0,0,(Assumptions!$B$5/B7)*E7)</f>
        <v>0.1</v>
      </c>
      <c r="J7" s="16" t="n">
        <f aca="false">IF((D7+E7)=0,"—",F7/((D7+E7)/2))</f>
        <v>200</v>
      </c>
      <c r="K7" s="11" t="s">
        <v>28</v>
      </c>
    </row>
    <row r="8" customFormat="false" ht="15" hidden="false" customHeight="false" outlineLevel="0" collapsed="false">
      <c r="A8" s="9" t="s">
        <v>35</v>
      </c>
      <c r="B8" s="10" t="n">
        <v>10</v>
      </c>
      <c r="C8" s="11" t="s">
        <v>36</v>
      </c>
      <c r="D8" s="12" t="n">
        <v>0.014</v>
      </c>
      <c r="E8" s="12" t="n">
        <v>0.05</v>
      </c>
      <c r="F8" s="13" t="n">
        <f aca="false">B8*Assumptions!$B$4</f>
        <v>0.1</v>
      </c>
      <c r="G8" s="14" t="n">
        <f aca="false">IF(B8=0,"—",Assumptions!$B$5/B8)</f>
        <v>100</v>
      </c>
      <c r="H8" s="15" t="n">
        <f aca="false">IF(B8=0,0,(Assumptions!$B$5/B8)*D8)</f>
        <v>1.4</v>
      </c>
      <c r="I8" s="15" t="n">
        <f aca="false">IF(B8=0,0,(Assumptions!$B$5/B8)*E8)</f>
        <v>5</v>
      </c>
      <c r="J8" s="16" t="n">
        <f aca="false">IF((D8+E8)=0,"—",F8/((D8+E8)/2))</f>
        <v>3.125</v>
      </c>
      <c r="K8" s="17" t="s">
        <v>32</v>
      </c>
    </row>
    <row r="9" customFormat="false" ht="15" hidden="false" customHeight="false" outlineLevel="0" collapsed="false">
      <c r="A9" s="9" t="s">
        <v>37</v>
      </c>
      <c r="B9" s="10" t="n">
        <v>10</v>
      </c>
      <c r="C9" s="11" t="s">
        <v>38</v>
      </c>
      <c r="D9" s="12" t="n">
        <v>0.0002</v>
      </c>
      <c r="E9" s="12" t="n">
        <v>0.0003</v>
      </c>
      <c r="F9" s="13" t="n">
        <f aca="false">B9*Assumptions!$B$4</f>
        <v>0.1</v>
      </c>
      <c r="G9" s="14" t="n">
        <f aca="false">IF(B9=0,"—",Assumptions!$B$5/B9)</f>
        <v>100</v>
      </c>
      <c r="H9" s="15" t="n">
        <f aca="false">IF(B9=0,0,(Assumptions!$B$5/B9)*D9)</f>
        <v>0.02</v>
      </c>
      <c r="I9" s="15" t="n">
        <f aca="false">IF(B9=0,0,(Assumptions!$B$5/B9)*E9)</f>
        <v>0.03</v>
      </c>
      <c r="J9" s="16" t="n">
        <f aca="false">IF((D9+E9)=0,"—",F9/((D9+E9)/2))</f>
        <v>400</v>
      </c>
      <c r="K9" s="11" t="s">
        <v>28</v>
      </c>
    </row>
    <row r="10" customFormat="false" ht="15" hidden="false" customHeight="false" outlineLevel="0" collapsed="false">
      <c r="A10" s="9" t="s">
        <v>39</v>
      </c>
      <c r="B10" s="10" t="n">
        <v>10</v>
      </c>
      <c r="C10" s="11" t="s">
        <v>40</v>
      </c>
      <c r="D10" s="12" t="n">
        <v>0.001</v>
      </c>
      <c r="E10" s="12" t="n">
        <v>0.005</v>
      </c>
      <c r="F10" s="13" t="n">
        <f aca="false">B10*Assumptions!$B$4</f>
        <v>0.1</v>
      </c>
      <c r="G10" s="14" t="n">
        <f aca="false">IF(B10=0,"—",Assumptions!$B$5/B10)</f>
        <v>100</v>
      </c>
      <c r="H10" s="15" t="n">
        <f aca="false">IF(B10=0,0,(Assumptions!$B$5/B10)*D10)</f>
        <v>0.1</v>
      </c>
      <c r="I10" s="15" t="n">
        <f aca="false">IF(B10=0,0,(Assumptions!$B$5/B10)*E10)</f>
        <v>0.5</v>
      </c>
      <c r="J10" s="16" t="n">
        <f aca="false">IF((D10+E10)=0,"—",F10/((D10+E10)/2))</f>
        <v>33.3333333333333</v>
      </c>
      <c r="K10" s="11" t="s">
        <v>28</v>
      </c>
    </row>
    <row r="11" customFormat="false" ht="15" hidden="false" customHeight="false" outlineLevel="0" collapsed="false">
      <c r="A11" s="9" t="s">
        <v>41</v>
      </c>
      <c r="B11" s="10" t="n">
        <v>5</v>
      </c>
      <c r="C11" s="11" t="s">
        <v>42</v>
      </c>
      <c r="D11" s="12" t="n">
        <v>0.017</v>
      </c>
      <c r="E11" s="12" t="n">
        <v>0.033</v>
      </c>
      <c r="F11" s="13" t="n">
        <f aca="false">B11*Assumptions!$B$4</f>
        <v>0.05</v>
      </c>
      <c r="G11" s="14" t="n">
        <f aca="false">IF(B11=0,"—",Assumptions!$B$5/B11)</f>
        <v>200</v>
      </c>
      <c r="H11" s="15" t="n">
        <f aca="false">IF(B11=0,0,(Assumptions!$B$5/B11)*D11)</f>
        <v>3.4</v>
      </c>
      <c r="I11" s="15" t="n">
        <f aca="false">IF(B11=0,0,(Assumptions!$B$5/B11)*E11)</f>
        <v>6.6</v>
      </c>
      <c r="J11" s="16" t="n">
        <f aca="false">IF((D11+E11)=0,"—",F11/((D11+E11)/2))</f>
        <v>2</v>
      </c>
      <c r="K11" s="17" t="s">
        <v>32</v>
      </c>
    </row>
    <row r="12" customFormat="false" ht="15" hidden="false" customHeight="false" outlineLevel="0" collapsed="false">
      <c r="A12" s="9" t="s">
        <v>43</v>
      </c>
      <c r="B12" s="10" t="n">
        <v>17</v>
      </c>
      <c r="C12" s="11" t="s">
        <v>42</v>
      </c>
      <c r="D12" s="12" t="n">
        <v>0.013</v>
      </c>
      <c r="E12" s="12" t="n">
        <v>0.022</v>
      </c>
      <c r="F12" s="13" t="n">
        <f aca="false">B12*Assumptions!$B$4</f>
        <v>0.17</v>
      </c>
      <c r="G12" s="14" t="n">
        <f aca="false">IF(B12=0,"—",Assumptions!$B$5/B12)</f>
        <v>58.8235294117647</v>
      </c>
      <c r="H12" s="15" t="n">
        <f aca="false">IF(B12=0,0,(Assumptions!$B$5/B12)*D12)</f>
        <v>0.764705882352941</v>
      </c>
      <c r="I12" s="15" t="n">
        <f aca="false">IF(B12=0,0,(Assumptions!$B$5/B12)*E12)</f>
        <v>1.29411764705882</v>
      </c>
      <c r="J12" s="16" t="n">
        <f aca="false">IF((D12+E12)=0,"—",F12/((D12+E12)/2))</f>
        <v>9.71428571428572</v>
      </c>
      <c r="K12" s="17" t="s">
        <v>32</v>
      </c>
    </row>
    <row r="13" customFormat="false" ht="15" hidden="false" customHeight="false" outlineLevel="0" collapsed="false">
      <c r="A13" s="9" t="s">
        <v>44</v>
      </c>
      <c r="B13" s="10" t="n">
        <v>35</v>
      </c>
      <c r="C13" s="11" t="s">
        <v>38</v>
      </c>
      <c r="D13" s="12" t="n">
        <v>0.035</v>
      </c>
      <c r="E13" s="12" t="n">
        <v>0.05</v>
      </c>
      <c r="F13" s="13" t="n">
        <f aca="false">B13*Assumptions!$B$4</f>
        <v>0.35</v>
      </c>
      <c r="G13" s="14" t="n">
        <f aca="false">IF(B13=0,"—",Assumptions!$B$5/B13)</f>
        <v>28.5714285714286</v>
      </c>
      <c r="H13" s="15" t="n">
        <f aca="false">IF(B13=0,0,(Assumptions!$B$5/B13)*D13)</f>
        <v>1</v>
      </c>
      <c r="I13" s="15" t="n">
        <f aca="false">IF(B13=0,0,(Assumptions!$B$5/B13)*E13)</f>
        <v>1.42857142857143</v>
      </c>
      <c r="J13" s="16" t="n">
        <f aca="false">IF((D13+E13)=0,"—",F13/((D13+E13)/2))</f>
        <v>8.23529411764706</v>
      </c>
      <c r="K13" s="17" t="s">
        <v>32</v>
      </c>
    </row>
    <row r="14" customFormat="false" ht="15" hidden="false" customHeight="false" outlineLevel="0" collapsed="false">
      <c r="A14" s="9" t="s">
        <v>45</v>
      </c>
      <c r="B14" s="10" t="n">
        <v>1</v>
      </c>
      <c r="C14" s="11" t="s">
        <v>46</v>
      </c>
      <c r="D14" s="12" t="n">
        <v>0.0005</v>
      </c>
      <c r="E14" s="12" t="n">
        <v>0.0005</v>
      </c>
      <c r="F14" s="13" t="n">
        <f aca="false">B14*Assumptions!$B$4</f>
        <v>0.01</v>
      </c>
      <c r="G14" s="14" t="n">
        <f aca="false">IF(B14=0,"—",Assumptions!$B$5/B14)</f>
        <v>1000</v>
      </c>
      <c r="H14" s="15" t="n">
        <f aca="false">IF(B14=0,0,(Assumptions!$B$5/B14)*D14)</f>
        <v>0.5</v>
      </c>
      <c r="I14" s="15" t="n">
        <f aca="false">IF(B14=0,0,(Assumptions!$B$5/B14)*E14)</f>
        <v>0.5</v>
      </c>
      <c r="J14" s="16" t="n">
        <f aca="false">IF((D14+E14)=0,"—",F14/((D14+E14)/2))</f>
        <v>20</v>
      </c>
      <c r="K14" s="18" t="s">
        <v>47</v>
      </c>
    </row>
    <row r="15" customFormat="false" ht="15" hidden="false" customHeight="false" outlineLevel="0" collapsed="false">
      <c r="A15" s="9" t="s">
        <v>48</v>
      </c>
      <c r="B15" s="10" t="n">
        <v>0</v>
      </c>
      <c r="C15" s="11" t="s">
        <v>42</v>
      </c>
      <c r="D15" s="12" t="n">
        <v>0</v>
      </c>
      <c r="E15" s="12" t="n">
        <v>0.001</v>
      </c>
      <c r="F15" s="13" t="n">
        <f aca="false">B15*Assumptions!$B$4</f>
        <v>0</v>
      </c>
      <c r="G15" s="14" t="str">
        <f aca="false">IF(B15=0,"—",Assumptions!$B$5/B15)</f>
        <v>—</v>
      </c>
      <c r="H15" s="15" t="n">
        <f aca="false">IF(B15=0,0,(Assumptions!$B$5/B15)*D15)</f>
        <v>0</v>
      </c>
      <c r="I15" s="15" t="n">
        <f aca="false">IF(B15=0,0,(Assumptions!$B$5/B15)*E15)</f>
        <v>0</v>
      </c>
      <c r="J15" s="16" t="n">
        <f aca="false">IF((D15+E15)=0,"—",F15/((D15+E15)/2))</f>
        <v>0</v>
      </c>
      <c r="K15" s="18" t="s">
        <v>47</v>
      </c>
    </row>
    <row r="16" customFormat="false" ht="15" hidden="false" customHeight="false" outlineLevel="0" collapsed="false">
      <c r="A16" s="9" t="s">
        <v>49</v>
      </c>
      <c r="B16" s="10" t="n">
        <v>0</v>
      </c>
      <c r="C16" s="11" t="s">
        <v>27</v>
      </c>
      <c r="D16" s="12" t="n">
        <v>1E-005</v>
      </c>
      <c r="E16" s="12" t="n">
        <v>0.0001</v>
      </c>
      <c r="F16" s="13" t="n">
        <f aca="false">B16*Assumptions!$B$4</f>
        <v>0</v>
      </c>
      <c r="G16" s="14" t="str">
        <f aca="false">IF(B16=0,"—",Assumptions!$B$5/B16)</f>
        <v>—</v>
      </c>
      <c r="H16" s="15" t="n">
        <f aca="false">IF(B16=0,0,(Assumptions!$B$5/B16)*D16)</f>
        <v>0</v>
      </c>
      <c r="I16" s="15" t="n">
        <f aca="false">IF(B16=0,0,(Assumptions!$B$5/B16)*E16)</f>
        <v>0</v>
      </c>
      <c r="J16" s="16" t="n">
        <f aca="false">IF((D16+E16)=0,"—",F16/((D16+E16)/2))</f>
        <v>0</v>
      </c>
      <c r="K16" s="1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6" min="4" style="0" width="12"/>
  </cols>
  <sheetData>
    <row r="1" customFormat="false" ht="16.15" hidden="false" customHeight="false" outlineLevel="0" collapsed="false">
      <c r="A1" s="19" t="s">
        <v>50</v>
      </c>
    </row>
    <row r="3" customFormat="false" ht="15" hidden="false" customHeight="false" outlineLevel="0" collapsed="false">
      <c r="A3" s="20" t="s">
        <v>51</v>
      </c>
    </row>
    <row r="4" customFormat="false" ht="15" hidden="false" customHeight="false" outlineLevel="0" collapsed="false">
      <c r="A4" s="0" t="s">
        <v>52</v>
      </c>
      <c r="B4" s="21" t="n">
        <f aca="false">MAX('Per-Feature'!I4:I16)</f>
        <v>6.6</v>
      </c>
      <c r="C4" s="4" t="s">
        <v>53</v>
      </c>
    </row>
    <row r="5" customFormat="false" ht="15" hidden="false" customHeight="false" outlineLevel="0" collapsed="false">
      <c r="A5" s="0" t="s">
        <v>54</v>
      </c>
      <c r="B5" s="21" t="n">
        <f aca="false">B4*30</f>
        <v>198</v>
      </c>
    </row>
    <row r="7" customFormat="false" ht="15" hidden="false" customHeight="false" outlineLevel="0" collapsed="false">
      <c r="A7" s="20" t="s">
        <v>55</v>
      </c>
    </row>
    <row r="8" customFormat="false" ht="15" hidden="false" customHeight="false" outlineLevel="0" collapsed="false">
      <c r="A8" s="22" t="s">
        <v>15</v>
      </c>
      <c r="B8" s="22" t="s">
        <v>56</v>
      </c>
      <c r="C8" s="22" t="s">
        <v>57</v>
      </c>
      <c r="D8" s="22" t="s">
        <v>58</v>
      </c>
      <c r="E8" s="22" t="s">
        <v>59</v>
      </c>
      <c r="F8" s="22" t="s">
        <v>60</v>
      </c>
    </row>
    <row r="9" customFormat="false" ht="15" hidden="false" customHeight="false" outlineLevel="0" collapsed="false">
      <c r="A9" s="23" t="s">
        <v>26</v>
      </c>
      <c r="B9" s="10" t="n">
        <v>40</v>
      </c>
      <c r="C9" s="24" t="n">
        <f aca="false">'Per-Feature'!B4</f>
        <v>2</v>
      </c>
      <c r="D9" s="14" t="n">
        <f aca="false">B9*C9</f>
        <v>80</v>
      </c>
      <c r="E9" s="13" t="n">
        <f aca="false">B9*'Per-Feature'!D4</f>
        <v>0.02</v>
      </c>
      <c r="F9" s="13" t="n">
        <f aca="false">B9*'Per-Feature'!E4</f>
        <v>0.02</v>
      </c>
    </row>
    <row r="10" customFormat="false" ht="15" hidden="false" customHeight="false" outlineLevel="0" collapsed="false">
      <c r="A10" s="23" t="s">
        <v>31</v>
      </c>
      <c r="B10" s="10" t="n">
        <v>1</v>
      </c>
      <c r="C10" s="24" t="n">
        <f aca="false">'Per-Feature'!B6</f>
        <v>80</v>
      </c>
      <c r="D10" s="14" t="n">
        <f aca="false">B10*C10</f>
        <v>80</v>
      </c>
      <c r="E10" s="13" t="n">
        <f aca="false">B10*'Per-Feature'!D6</f>
        <v>0.04</v>
      </c>
      <c r="F10" s="13" t="n">
        <f aca="false">B10*'Per-Feature'!E6</f>
        <v>0.067</v>
      </c>
    </row>
    <row r="11" customFormat="false" ht="15" hidden="false" customHeight="false" outlineLevel="0" collapsed="false">
      <c r="A11" s="23" t="s">
        <v>35</v>
      </c>
      <c r="B11" s="10" t="n">
        <v>1</v>
      </c>
      <c r="C11" s="24" t="n">
        <f aca="false">'Per-Feature'!B8</f>
        <v>10</v>
      </c>
      <c r="D11" s="14" t="n">
        <f aca="false">B11*C11</f>
        <v>10</v>
      </c>
      <c r="E11" s="13" t="n">
        <f aca="false">B11*'Per-Feature'!D8</f>
        <v>0.014</v>
      </c>
      <c r="F11" s="13" t="n">
        <f aca="false">B11*'Per-Feature'!E8</f>
        <v>0.05</v>
      </c>
    </row>
    <row r="12" customFormat="false" ht="15" hidden="false" customHeight="false" outlineLevel="0" collapsed="false">
      <c r="A12" s="23" t="s">
        <v>37</v>
      </c>
      <c r="B12" s="10" t="n">
        <v>5</v>
      </c>
      <c r="C12" s="24" t="n">
        <f aca="false">'Per-Feature'!B9</f>
        <v>10</v>
      </c>
      <c r="D12" s="14" t="n">
        <f aca="false">B12*C12</f>
        <v>50</v>
      </c>
      <c r="E12" s="13" t="n">
        <f aca="false">B12*'Per-Feature'!D9</f>
        <v>0.001</v>
      </c>
      <c r="F12" s="13" t="n">
        <f aca="false">B12*'Per-Feature'!E9</f>
        <v>0.0015</v>
      </c>
    </row>
    <row r="13" customFormat="false" ht="15" hidden="false" customHeight="false" outlineLevel="0" collapsed="false">
      <c r="A13" s="23" t="s">
        <v>39</v>
      </c>
      <c r="B13" s="10" t="n">
        <v>3</v>
      </c>
      <c r="C13" s="24" t="n">
        <f aca="false">'Per-Feature'!B10</f>
        <v>10</v>
      </c>
      <c r="D13" s="14" t="n">
        <f aca="false">B13*C13</f>
        <v>30</v>
      </c>
      <c r="E13" s="13" t="n">
        <f aca="false">B13*'Per-Feature'!D10</f>
        <v>0.003</v>
      </c>
      <c r="F13" s="13" t="n">
        <f aca="false">B13*'Per-Feature'!E10</f>
        <v>0.015</v>
      </c>
    </row>
    <row r="14" customFormat="false" ht="15" hidden="false" customHeight="false" outlineLevel="0" collapsed="false">
      <c r="A14" s="23" t="s">
        <v>41</v>
      </c>
      <c r="B14" s="10" t="n">
        <v>3</v>
      </c>
      <c r="C14" s="24" t="n">
        <f aca="false">'Per-Feature'!B11</f>
        <v>5</v>
      </c>
      <c r="D14" s="14" t="n">
        <f aca="false">B14*C14</f>
        <v>15</v>
      </c>
      <c r="E14" s="13" t="n">
        <f aca="false">B14*'Per-Feature'!D11</f>
        <v>0.051</v>
      </c>
      <c r="F14" s="13" t="n">
        <f aca="false">B14*'Per-Feature'!E11</f>
        <v>0.099</v>
      </c>
    </row>
    <row r="15" customFormat="false" ht="15" hidden="false" customHeight="false" outlineLevel="0" collapsed="false">
      <c r="A15" s="23" t="s">
        <v>43</v>
      </c>
      <c r="B15" s="10" t="n">
        <v>2</v>
      </c>
      <c r="C15" s="24" t="n">
        <f aca="false">'Per-Feature'!B12</f>
        <v>17</v>
      </c>
      <c r="D15" s="14" t="n">
        <f aca="false">B15*C15</f>
        <v>34</v>
      </c>
      <c r="E15" s="13" t="n">
        <f aca="false">B15*'Per-Feature'!D12</f>
        <v>0.026</v>
      </c>
      <c r="F15" s="13" t="n">
        <f aca="false">B15*'Per-Feature'!E12</f>
        <v>0.044</v>
      </c>
    </row>
    <row r="16" customFormat="false" ht="15" hidden="false" customHeight="false" outlineLevel="0" collapsed="false">
      <c r="A16" s="23" t="s">
        <v>33</v>
      </c>
      <c r="B16" s="10" t="n">
        <v>10</v>
      </c>
      <c r="C16" s="24" t="n">
        <f aca="false">'Per-Feature'!B7</f>
        <v>20</v>
      </c>
      <c r="D16" s="14" t="n">
        <f aca="false">B16*C16</f>
        <v>200</v>
      </c>
      <c r="E16" s="13" t="n">
        <f aca="false">B16*'Per-Feature'!D7</f>
        <v>0</v>
      </c>
      <c r="F16" s="13" t="n">
        <f aca="false">B16*'Per-Feature'!E7</f>
        <v>0.02</v>
      </c>
    </row>
    <row r="17" customFormat="false" ht="15" hidden="false" customHeight="false" outlineLevel="0" collapsed="false">
      <c r="A17" s="25" t="s">
        <v>61</v>
      </c>
      <c r="B17" s="0" t="s">
        <v>62</v>
      </c>
      <c r="D17" s="26" t="n">
        <f aca="false">SUM(D9:D16)</f>
        <v>499</v>
      </c>
      <c r="E17" s="27" t="n">
        <f aca="false">SUM(E9:E16)</f>
        <v>0.155</v>
      </c>
      <c r="F17" s="27" t="n">
        <f aca="false">SUM(F9:F16)</f>
        <v>0.3165</v>
      </c>
    </row>
    <row r="18" customFormat="false" ht="15" hidden="false" customHeight="false" outlineLevel="0" collapsed="false">
      <c r="A18" s="0" t="s">
        <v>63</v>
      </c>
      <c r="D18" s="0" t="str">
        <f aca="false">D17&amp;" / "&amp;Assumptions!B5</f>
        <v>499 / 1000</v>
      </c>
    </row>
    <row r="20" customFormat="false" ht="15" hidden="false" customHeight="false" outlineLevel="0" collapsed="false">
      <c r="A20" s="20" t="s">
        <v>64</v>
      </c>
    </row>
    <row r="21" customFormat="false" ht="15" hidden="false" customHeight="false" outlineLevel="0" collapsed="false">
      <c r="A21" s="0" t="s">
        <v>10</v>
      </c>
      <c r="B21" s="28" t="n">
        <f aca="false">Assumptions!B7</f>
        <v>1000</v>
      </c>
    </row>
    <row r="22" customFormat="false" ht="15" hidden="false" customHeight="false" outlineLevel="0" collapsed="false">
      <c r="A22" s="0" t="s">
        <v>65</v>
      </c>
      <c r="B22" s="29" t="n">
        <f aca="false">Assumptions!B7*Assumptions!B8</f>
        <v>400</v>
      </c>
    </row>
    <row r="23" customFormat="false" ht="15" hidden="false" customHeight="false" outlineLevel="0" collapsed="false">
      <c r="A23" s="0" t="s">
        <v>66</v>
      </c>
      <c r="B23" s="30" t="n">
        <f aca="false">B22*E17</f>
        <v>62</v>
      </c>
      <c r="C23" s="30" t="n">
        <f aca="false">B22*F17</f>
        <v>126.6</v>
      </c>
    </row>
    <row r="24" customFormat="false" ht="15" hidden="false" customHeight="false" outlineLevel="0" collapsed="false">
      <c r="A24" s="0" t="s">
        <v>67</v>
      </c>
      <c r="B24" s="30" t="n">
        <f aca="false">B23*30</f>
        <v>1860</v>
      </c>
      <c r="C24" s="30" t="n">
        <f aca="false">C23*30</f>
        <v>3798</v>
      </c>
    </row>
    <row r="25" customFormat="false" ht="15" hidden="false" customHeight="false" outlineLevel="0" collapsed="false">
      <c r="A25" s="0" t="s">
        <v>68</v>
      </c>
      <c r="B25" s="31" t="n">
        <f aca="false">B22*B4*30</f>
        <v>79200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2026-06-22T16:14:58Z</dcterms:created>
  <dc:creator>openpyxl</dc:creator>
  <dc:description/>
  <dc:language>en-US</dc:language>
  <cp:lastModifiedBy/>
  <dcterms:modified xsi:type="dcterms:W3CDTF">2026-06-22T16:14:58Z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